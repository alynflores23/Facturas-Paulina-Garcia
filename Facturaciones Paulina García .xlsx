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veralto-my.sharepoint.com/personal/alyn_flores_videojet_com/Documents/Facturación Paulina García/"/>
    </mc:Choice>
  </mc:AlternateContent>
  <xr:revisionPtr revIDLastSave="39" documentId="8_{0D5D5420-534C-4FC6-81DE-621EFA6C9AC8}" xr6:coauthVersionLast="47" xr6:coauthVersionMax="47" xr10:uidLastSave="{F5EB47D4-E17E-4D5F-AEDC-5ABF39133271}"/>
  <bookViews>
    <workbookView xWindow="9870" yWindow="1080" windowWidth="8310" windowHeight="10695" xr2:uid="{6CE756F0-3217-4979-856F-B3C3DE93E5B9}"/>
  </bookViews>
  <sheets>
    <sheet name="Marzo 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I6" i="1"/>
  <c r="L6" i="1" s="1"/>
  <c r="I7" i="1"/>
  <c r="L7" i="1" s="1"/>
  <c r="I8" i="1"/>
  <c r="L8" i="1" s="1"/>
  <c r="I10" i="1"/>
  <c r="I5" i="1"/>
  <c r="L5" i="1" s="1"/>
  <c r="L11" i="1" s="1"/>
</calcChain>
</file>

<file path=xl/sharedStrings.xml><?xml version="1.0" encoding="utf-8"?>
<sst xmlns="http://schemas.openxmlformats.org/spreadsheetml/2006/main" count="32" uniqueCount="24">
  <si>
    <t>Facturaciones</t>
  </si>
  <si>
    <t>KAIZEN</t>
  </si>
  <si>
    <t>Concepto</t>
  </si>
  <si>
    <t>Forma de pago</t>
  </si>
  <si>
    <t>Fecha de consumo</t>
  </si>
  <si>
    <t>Importe</t>
  </si>
  <si>
    <t>IVA</t>
  </si>
  <si>
    <t>Total</t>
  </si>
  <si>
    <t>Moneda</t>
  </si>
  <si>
    <t>Tipo de cambio actual</t>
  </si>
  <si>
    <t>Total mxn</t>
  </si>
  <si>
    <t>Le Pain Restaurante</t>
  </si>
  <si>
    <t>Efectivo</t>
  </si>
  <si>
    <t>Peso mexicano</t>
  </si>
  <si>
    <t>Sitio 300</t>
  </si>
  <si>
    <t>Tarjeta de crédito</t>
  </si>
  <si>
    <t xml:space="preserve">incluído </t>
  </si>
  <si>
    <t>Estados Unidos de América</t>
  </si>
  <si>
    <t>LONGHORN STEAKHOUSE</t>
  </si>
  <si>
    <t>Dólar Estadounidense</t>
  </si>
  <si>
    <t>EGGSPERIENCE</t>
  </si>
  <si>
    <t>EXTRAS</t>
  </si>
  <si>
    <t>SUPER SERVICIO BULEVARES</t>
  </si>
  <si>
    <t>incluído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</si>
</sst>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14" fontId="0" fillId="0" borderId="5" xfId="0" applyNumberFormat="1" applyBorder="1" applyAlignment="1">
      <alignment horizontal="left" wrapText="1"/>
    </xf>
    <xf numFmtId="44" fontId="0" fillId="0" borderId="6" xfId="1" applyFont="1" applyBorder="1" applyAlignment="1">
      <alignment wrapText="1"/>
    </xf>
    <xf numFmtId="44" fontId="0" fillId="0" borderId="5" xfId="1" applyFont="1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 wrapText="1"/>
    </xf>
    <xf numFmtId="44" fontId="3" fillId="0" borderId="10" xfId="1" applyFont="1" applyBorder="1" applyAlignment="1">
      <alignment wrapText="1"/>
    </xf>
    <xf numFmtId="0" fontId="0" fillId="0" borderId="11" xfId="0" applyBorder="1"/>
    <xf numFmtId="44" fontId="0" fillId="0" borderId="0" xfId="0" applyNumberFormat="1" applyAlignment="1">
      <alignment wrapText="1"/>
    </xf>
    <xf numFmtId="44" fontId="0" fillId="0" borderId="7" xfId="0" applyNumberFormat="1" applyBorder="1" applyAlignment="1">
      <alignment wrapText="1"/>
    </xf>
    <xf numFmtId="44" fontId="0" fillId="0" borderId="0" xfId="0" applyNumberFormat="1"/>
    <xf numFmtId="44" fontId="0" fillId="0" borderId="0" xfId="1" applyFont="1"/>
    <xf numFmtId="0" fontId="0" fillId="0" borderId="12" xfId="0" applyBorder="1"/>
    <xf numFmtId="0" fontId="0" fillId="3" borderId="8" xfId="0" applyFill="1" applyBorder="1" applyAlignment="1">
      <alignment wrapText="1"/>
    </xf>
    <xf numFmtId="14" fontId="0" fillId="3" borderId="9" xfId="0" applyNumberFormat="1" applyFill="1" applyBorder="1" applyAlignment="1">
      <alignment horizontal="left" wrapText="1"/>
    </xf>
    <xf numFmtId="44" fontId="0" fillId="3" borderId="9" xfId="1" applyFont="1" applyFill="1" applyBorder="1" applyAlignment="1">
      <alignment wrapText="1"/>
    </xf>
    <xf numFmtId="44" fontId="0" fillId="3" borderId="6" xfId="1" applyFont="1" applyFill="1" applyBorder="1" applyAlignment="1">
      <alignment wrapText="1"/>
    </xf>
    <xf numFmtId="0" fontId="0" fillId="3" borderId="0" xfId="0" applyFill="1"/>
    <xf numFmtId="44" fontId="0" fillId="3" borderId="0" xfId="0" applyNumberFormat="1" applyFill="1"/>
    <xf numFmtId="0" fontId="0" fillId="3" borderId="4" xfId="0" applyFill="1" applyBorder="1" applyAlignment="1">
      <alignment wrapText="1"/>
    </xf>
    <xf numFmtId="14" fontId="0" fillId="3" borderId="5" xfId="0" applyNumberFormat="1" applyFill="1" applyBorder="1" applyAlignment="1">
      <alignment horizontal="left" wrapText="1"/>
    </xf>
    <xf numFmtId="44" fontId="0" fillId="3" borderId="5" xfId="1" applyFont="1" applyFill="1" applyBorder="1" applyAlignment="1">
      <alignment wrapText="1"/>
    </xf>
    <xf numFmtId="44" fontId="0" fillId="0" borderId="12" xfId="0" applyNumberFormat="1" applyBorder="1"/>
    <xf numFmtId="0" fontId="0" fillId="0" borderId="8" xfId="0" applyBorder="1" applyAlignment="1">
      <alignment wrapText="1"/>
    </xf>
    <xf numFmtId="14" fontId="0" fillId="0" borderId="9" xfId="0" applyNumberFormat="1" applyBorder="1" applyAlignment="1">
      <alignment horizontal="left" wrapText="1"/>
    </xf>
    <xf numFmtId="44" fontId="0" fillId="0" borderId="9" xfId="1" applyFont="1" applyBorder="1" applyAlignment="1">
      <alignment wrapText="1"/>
    </xf>
    <xf numFmtId="44" fontId="0" fillId="0" borderId="13" xfId="1" applyFont="1" applyBorder="1" applyAlignment="1">
      <alignment wrapText="1"/>
    </xf>
    <xf numFmtId="0" fontId="3" fillId="0" borderId="0" xfId="0" applyFont="1"/>
    <xf numFmtId="0" fontId="3" fillId="4" borderId="14" xfId="0" applyFont="1" applyFill="1" applyBorder="1" applyAlignment="1">
      <alignment wrapText="1"/>
    </xf>
    <xf numFmtId="0" fontId="3" fillId="4" borderId="15" xfId="0" applyFont="1" applyFill="1" applyBorder="1" applyAlignment="1">
      <alignment wrapText="1"/>
    </xf>
    <xf numFmtId="14" fontId="3" fillId="4" borderId="15" xfId="0" applyNumberFormat="1" applyFont="1" applyFill="1" applyBorder="1" applyAlignment="1">
      <alignment horizontal="left" wrapText="1"/>
    </xf>
    <xf numFmtId="44" fontId="3" fillId="4" borderId="15" xfId="1" applyFont="1" applyFill="1" applyBorder="1" applyAlignment="1">
      <alignment wrapText="1"/>
    </xf>
    <xf numFmtId="0" fontId="3" fillId="4" borderId="15" xfId="0" applyFont="1" applyFill="1" applyBorder="1"/>
    <xf numFmtId="44" fontId="3" fillId="4" borderId="16" xfId="0" applyNumberFormat="1" applyFont="1" applyFill="1" applyBorder="1"/>
    <xf numFmtId="0" fontId="3" fillId="4" borderId="14" xfId="0" applyFont="1" applyFill="1" applyBorder="1"/>
    <xf numFmtId="0" fontId="3" fillId="4" borderId="16" xfId="0" applyFont="1" applyFill="1" applyBorder="1"/>
    <xf numFmtId="0" fontId="2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20">
    <dxf>
      <numFmt numFmtId="34" formatCode="_-&quot;$&quot;* #,##0.00_-;\-&quot;$&quot;* #,##0.00_-;_-&quot;$&quot;* &quot;-&quot;??_-;_-@_-"/>
      <border diagonalUp="0" diagonalDown="0" outline="0">
        <left/>
        <right/>
        <top style="thin">
          <color indexed="64"/>
        </top>
        <bottom/>
      </border>
    </dxf>
    <dxf>
      <numFmt numFmtId="34" formatCode="_-&quot;$&quot;* #,##0.00_-;\-&quot;$&quot;* #,##0.00_-;_-&quot;$&quot;* &quot;-&quot;??_-;_-@_-"/>
    </dxf>
    <dxf>
      <border diagonalUp="0" diagonalDown="0" outline="0">
        <left/>
        <right/>
        <top style="thin">
          <color indexed="64"/>
        </top>
        <bottom/>
      </border>
    </dxf>
    <dxf>
      <border diagonalUp="0" diagonalDown="0" outline="0">
        <left/>
        <right/>
        <top style="thin">
          <color indexed="64"/>
        </top>
        <bottom/>
      </border>
    </dxf>
    <dxf>
      <numFmt numFmtId="34" formatCode="_-&quot;$&quot;* #,##0.00_-;\-&quot;$&quot;* #,##0.00_-;_-&quot;$&quot;* &quot;-&quot;??_-;_-@_-"/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-&quot;$&quot;* #,##0.00_-;\-&quot;$&quot;* #,##0.00_-;_-&quot;$&quot;* &quot;-&quot;??_-;_-@_-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34" formatCode="_-&quot;$&quot;* #,##0.00_-;\-&quot;$&quot;* #,##0.00_-;_-&quot;$&quot;* &quot;-&quot;??_-;_-@_-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34" formatCode="_-&quot;$&quot;* #,##0.00_-;\-&quot;$&quot;* #,##0.00_-;_-&quot;$&quot;* &quot;-&quot;??_-;_-@_-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m/d/yyyy"/>
      <alignment horizontal="left" vertical="bottom" textRotation="0" wrapText="1" indent="0" justifyLastLine="0" shrinkToFit="0" readingOrder="0"/>
    </dxf>
    <dxf>
      <numFmt numFmtId="19" formatCode="dd/mm/yyyy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9CC5C0-2F10-4B9B-9C32-DAAA2D4A5ACF}" name="Tabla1" displayName="Tabla1" ref="D4:L11" totalsRowCount="1" headerRowDxfId="19" headerRowBorderDxfId="18" tableBorderDxfId="17" totalsRowBorderDxfId="16">
  <autoFilter ref="D4:L10" xr:uid="{CA9CC5C0-2F10-4B9B-9C32-DAAA2D4A5A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6956FCD-1BE3-454A-A34E-714A17152A5F}" name="Concepto" dataDxfId="15" totalsRowDxfId="14"/>
    <tableColumn id="6" xr3:uid="{36658379-A38B-48CA-9F9A-36B8E812260A}" name="Forma de pago" dataDxfId="13" totalsRowDxfId="12"/>
    <tableColumn id="2" xr3:uid="{4C5DA06D-25EC-4D8A-BF2E-806F9BCDB230}" name="Fecha de consumo" dataDxfId="11" totalsRowDxfId="10"/>
    <tableColumn id="3" xr3:uid="{50D391A6-1EA0-4408-8A67-03E54CB9AF8C}" name="Importe" dataDxfId="9" totalsRowDxfId="8" dataCellStyle="Moneda"/>
    <tableColumn id="4" xr3:uid="{24A65412-FE9D-4561-9DAC-B29023D5D04C}" name="IVA" dataDxfId="7" totalsRowDxfId="6" dataCellStyle="Moneda"/>
    <tableColumn id="5" xr3:uid="{E6B2BB91-0648-488C-A1AA-95DECC40ECCD}" name="Total" dataDxfId="5" totalsRowDxfId="4" dataCellStyle="Moneda">
      <calculatedColumnFormula>SUM(Tabla1[[#This Row],[Importe]:[IVA]])</calculatedColumnFormula>
    </tableColumn>
    <tableColumn id="7" xr3:uid="{1E6624FA-9238-4DB6-A7A8-E4B5F30E2C00}" name="Moneda" totalsRowDxfId="3"/>
    <tableColumn id="8" xr3:uid="{1DA70DF8-C2AF-4B1B-8593-9171FDC19E0E}" name="Tipo de cambio actual" totalsRowDxfId="2"/>
    <tableColumn id="9" xr3:uid="{311E6DC9-9AED-455C-8C68-38A9BD93A298}" name="Total mxn" totalsRowFunction="custom" dataDxfId="1" totalsRowDxfId="0">
      <calculatedColumnFormula>Tabla1[[#This Row],[Total]]</calculatedColumnFormula>
      <totalsRowFormula>SUM(L5:L10)</totalsRow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0792-8D59-4DB4-9761-7786C3EDF386}">
  <dimension ref="C2:M22"/>
  <sheetViews>
    <sheetView tabSelected="1" topLeftCell="C7" zoomScale="101" workbookViewId="0">
      <selection activeCell="D10" sqref="D10"/>
    </sheetView>
  </sheetViews>
  <sheetFormatPr baseColWidth="10" defaultColWidth="11.42578125" defaultRowHeight="15" x14ac:dyDescent="0.25"/>
  <cols>
    <col min="2" max="2" width="13.28515625" customWidth="1"/>
    <col min="3" max="3" width="25.28515625" bestFit="1" customWidth="1"/>
    <col min="4" max="4" width="18.42578125" bestFit="1" customWidth="1"/>
    <col min="5" max="5" width="19.7109375" customWidth="1"/>
    <col min="6" max="6" width="18.42578125" customWidth="1"/>
    <col min="9" max="9" width="16" customWidth="1"/>
    <col min="10" max="11" width="20.5703125" bestFit="1" customWidth="1"/>
  </cols>
  <sheetData>
    <row r="2" spans="3:13" ht="31.5" x14ac:dyDescent="0.5">
      <c r="D2" s="40" t="s">
        <v>0</v>
      </c>
      <c r="E2" s="40"/>
      <c r="F2" s="40"/>
    </row>
    <row r="3" spans="3:13" x14ac:dyDescent="0.25">
      <c r="D3" s="38" t="s">
        <v>1</v>
      </c>
      <c r="E3" s="36"/>
      <c r="F3" s="36"/>
      <c r="G3" s="36"/>
      <c r="H3" s="36"/>
      <c r="I3" s="36"/>
      <c r="J3" s="36"/>
      <c r="K3" s="36"/>
      <c r="L3" s="39"/>
    </row>
    <row r="4" spans="3:13" ht="16.5" customHeight="1" x14ac:dyDescent="0.25">
      <c r="D4" s="1" t="s">
        <v>2</v>
      </c>
      <c r="E4" s="1" t="s">
        <v>3</v>
      </c>
      <c r="F4" s="2" t="s">
        <v>4</v>
      </c>
      <c r="G4" s="2" t="s">
        <v>5</v>
      </c>
      <c r="H4" s="2" t="s">
        <v>6</v>
      </c>
      <c r="I4" s="3" t="s">
        <v>7</v>
      </c>
      <c r="J4" s="2" t="s">
        <v>8</v>
      </c>
      <c r="K4" s="2" t="s">
        <v>9</v>
      </c>
      <c r="L4" s="2" t="s">
        <v>10</v>
      </c>
    </row>
    <row r="5" spans="3:13" x14ac:dyDescent="0.25">
      <c r="D5" s="4" t="s">
        <v>11</v>
      </c>
      <c r="E5" s="4" t="s">
        <v>12</v>
      </c>
      <c r="F5" s="5">
        <v>46089</v>
      </c>
      <c r="G5" s="7">
        <v>257.76</v>
      </c>
      <c r="H5" s="7">
        <v>41.24</v>
      </c>
      <c r="I5" s="6">
        <f>SUM(Tabla1[[#This Row],[Importe]:[IVA]])</f>
        <v>299</v>
      </c>
      <c r="J5" t="s">
        <v>13</v>
      </c>
      <c r="K5" s="11"/>
      <c r="L5" s="10">
        <f>Tabla1[[#This Row],[Total]]</f>
        <v>299</v>
      </c>
    </row>
    <row r="6" spans="3:13" x14ac:dyDescent="0.25">
      <c r="D6" s="4" t="s">
        <v>14</v>
      </c>
      <c r="E6" s="4" t="s">
        <v>15</v>
      </c>
      <c r="F6" s="5">
        <v>46095</v>
      </c>
      <c r="G6" s="7">
        <v>1030</v>
      </c>
      <c r="H6" s="7" t="s">
        <v>16</v>
      </c>
      <c r="I6" s="6">
        <f>SUM(Tabla1[[#This Row],[Importe]:[IVA]])</f>
        <v>1030</v>
      </c>
      <c r="J6" t="s">
        <v>13</v>
      </c>
      <c r="K6" s="11"/>
      <c r="L6" s="10">
        <f>Tabla1[[#This Row],[Total]]</f>
        <v>1030</v>
      </c>
      <c r="M6" s="14"/>
    </row>
    <row r="7" spans="3:13" ht="30" x14ac:dyDescent="0.25">
      <c r="C7" s="21" t="s">
        <v>17</v>
      </c>
      <c r="D7" s="17" t="s">
        <v>18</v>
      </c>
      <c r="E7" s="17" t="s">
        <v>15</v>
      </c>
      <c r="F7" s="18">
        <v>46092</v>
      </c>
      <c r="G7" s="19">
        <v>68.959999999999994</v>
      </c>
      <c r="H7" s="19">
        <v>8.2799999999999994</v>
      </c>
      <c r="I7" s="20">
        <f>SUM(Tabla1[[#This Row],[Importe]:[IVA]])</f>
        <v>77.239999999999995</v>
      </c>
      <c r="J7" s="21" t="s">
        <v>19</v>
      </c>
      <c r="K7" s="21">
        <v>17.66</v>
      </c>
      <c r="L7" s="22">
        <f>Tabla1[[#This Row],[Total]]*Tabla1[[#This Row],[Tipo de cambio actual]]</f>
        <v>1364.0583999999999</v>
      </c>
    </row>
    <row r="8" spans="3:13" ht="40.5" customHeight="1" x14ac:dyDescent="0.25">
      <c r="C8" s="21" t="s">
        <v>17</v>
      </c>
      <c r="D8" s="23" t="s">
        <v>20</v>
      </c>
      <c r="E8" s="23" t="s">
        <v>15</v>
      </c>
      <c r="F8" s="24">
        <v>46095</v>
      </c>
      <c r="G8" s="25">
        <v>81.900000000000006</v>
      </c>
      <c r="H8" s="25" t="s">
        <v>16</v>
      </c>
      <c r="I8" s="20">
        <f>SUM(Tabla1[[#This Row],[Importe]:[IVA]])</f>
        <v>81.900000000000006</v>
      </c>
      <c r="J8" s="21" t="s">
        <v>19</v>
      </c>
      <c r="K8" s="21">
        <v>17.66</v>
      </c>
      <c r="L8" s="22">
        <f>Tabla1[[#This Row],[Tipo de cambio actual]]*Tabla1[[#This Row],[Total]]</f>
        <v>1446.354</v>
      </c>
    </row>
    <row r="9" spans="3:13" s="31" customFormat="1" ht="55.5" customHeight="1" x14ac:dyDescent="0.25">
      <c r="D9" s="32" t="s">
        <v>21</v>
      </c>
      <c r="E9" s="33"/>
      <c r="F9" s="34"/>
      <c r="G9" s="35"/>
      <c r="H9" s="35"/>
      <c r="I9" s="35"/>
      <c r="J9" s="36"/>
      <c r="K9" s="36"/>
      <c r="L9" s="37"/>
    </row>
    <row r="10" spans="3:13" ht="30" x14ac:dyDescent="0.25">
      <c r="D10" s="27" t="s">
        <v>22</v>
      </c>
      <c r="E10" s="27" t="s">
        <v>15</v>
      </c>
      <c r="F10" s="28">
        <v>46103</v>
      </c>
      <c r="G10" s="29">
        <v>979.96</v>
      </c>
      <c r="H10" s="29" t="s">
        <v>23</v>
      </c>
      <c r="I10" s="30">
        <f>SUM(Tabla1[[#This Row],[Importe]:[IVA]])</f>
        <v>979.96</v>
      </c>
      <c r="J10" t="s">
        <v>13</v>
      </c>
      <c r="L10" s="14">
        <f>Tabla1[[#This Row],[Importe]]</f>
        <v>979.96</v>
      </c>
    </row>
    <row r="11" spans="3:13" x14ac:dyDescent="0.25">
      <c r="D11" s="8"/>
      <c r="E11" s="8"/>
      <c r="F11" s="9"/>
      <c r="G11" s="12"/>
      <c r="H11" s="12"/>
      <c r="I11" s="13"/>
      <c r="J11" s="16"/>
      <c r="K11" s="16"/>
      <c r="L11" s="26">
        <f>SUM(L5:L10)</f>
        <v>5119.3724000000002</v>
      </c>
    </row>
    <row r="13" spans="3:13" x14ac:dyDescent="0.25">
      <c r="G13" s="14"/>
    </row>
    <row r="15" spans="3:13" x14ac:dyDescent="0.25">
      <c r="I15" s="14"/>
    </row>
    <row r="17" spans="10:10" x14ac:dyDescent="0.25">
      <c r="J17" s="15"/>
    </row>
    <row r="18" spans="10:10" x14ac:dyDescent="0.25">
      <c r="J18" s="15"/>
    </row>
    <row r="19" spans="10:10" x14ac:dyDescent="0.25">
      <c r="J19" s="15"/>
    </row>
    <row r="20" spans="10:10" x14ac:dyDescent="0.25">
      <c r="J20" s="15"/>
    </row>
    <row r="21" spans="10:10" x14ac:dyDescent="0.25">
      <c r="J21" s="15"/>
    </row>
    <row r="22" spans="10:10" x14ac:dyDescent="0.25">
      <c r="J22" s="15"/>
    </row>
  </sheetData>
  <mergeCells count="1">
    <mergeCell ref="D2:F2"/>
  </mergeCells>
  <pageMargins left="0.7" right="0.7" top="0.75" bottom="0.75" header="0.3" footer="0.3"/>
  <headerFooter>
    <oddFooter>&amp;C_x000D_&amp;1#&amp;"Default"&amp;10&amp;KD89B2B Confidential - Company Proprietary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78fc3b9b-35b0-4549-b8c7-7249a2740519}" enabled="1" method="Privileged" siteId="{2c518df7-6644-41f8-8350-3f75e61362a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Marzo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Ambrocio, Monserrat</dc:creator>
  <cp:keywords/>
  <dc:description/>
  <cp:lastModifiedBy>Flores, Alyn</cp:lastModifiedBy>
  <cp:revision/>
  <dcterms:created xsi:type="dcterms:W3CDTF">2025-06-10T21:25:03Z</dcterms:created>
  <dcterms:modified xsi:type="dcterms:W3CDTF">2026-04-12T20:45:28Z</dcterms:modified>
  <cp:category/>
  <cp:contentStatus/>
</cp:coreProperties>
</file>